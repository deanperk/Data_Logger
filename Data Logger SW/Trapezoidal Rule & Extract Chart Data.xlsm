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8190"/>
  </bookViews>
  <sheets>
    <sheet name="Trapezoidal Rule" sheetId="1" r:id="rId1"/>
    <sheet name="Extract Chart Data" sheetId="4" r:id="rId2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C12" i="1" l="1"/>
  <c r="C11" i="1"/>
  <c r="C10" i="1"/>
  <c r="C9" i="1"/>
  <c r="C8" i="1"/>
  <c r="C7" i="1"/>
  <c r="C6" i="1"/>
  <c r="C5" i="1"/>
  <c r="C4" i="1"/>
  <c r="B13" i="4" l="1"/>
  <c r="B12" i="4"/>
  <c r="B11" i="4"/>
  <c r="B10" i="4"/>
  <c r="B9" i="4"/>
  <c r="B8" i="4"/>
  <c r="B7" i="4"/>
  <c r="B6" i="4"/>
  <c r="B5" i="4"/>
  <c r="B4" i="4"/>
  <c r="C20" i="1"/>
  <c r="C17" i="1" l="1"/>
  <c r="K5" i="1"/>
  <c r="B6" i="1"/>
  <c r="O5" i="1" s="1"/>
  <c r="B7" i="1"/>
  <c r="B8" i="1"/>
  <c r="S5" i="1" s="1"/>
  <c r="B9" i="1"/>
  <c r="B10" i="1"/>
  <c r="M8" i="1" s="1"/>
  <c r="B11" i="1"/>
  <c r="B12" i="1"/>
  <c r="Q8" i="1" s="1"/>
  <c r="B13" i="1"/>
  <c r="B5" i="1"/>
  <c r="M5" i="1" s="1"/>
  <c r="S8" i="1"/>
  <c r="O8" i="1"/>
  <c r="K8" i="1"/>
  <c r="Q5" i="1"/>
  <c r="C14" i="1" l="1"/>
</calcChain>
</file>

<file path=xl/sharedStrings.xml><?xml version="1.0" encoding="utf-8"?>
<sst xmlns="http://schemas.openxmlformats.org/spreadsheetml/2006/main" count="27" uniqueCount="19">
  <si>
    <t>X</t>
  </si>
  <si>
    <t>Y</t>
  </si>
  <si>
    <t>Manual</t>
  </si>
  <si>
    <t>=SUM(C2:C11)</t>
  </si>
  <si>
    <r>
      <t xml:space="preserve">Using </t>
    </r>
    <r>
      <rPr>
        <b/>
        <sz val="10"/>
        <color rgb="FFFF0000"/>
        <rFont val="Arial"/>
        <family val="2"/>
        <charset val="161"/>
      </rPr>
      <t>SUMPRODUCT</t>
    </r>
  </si>
  <si>
    <t>=SUMPRODUCT(A3:A11-A2:A10;(B3:B11+B2:B10)/2)</t>
  </si>
  <si>
    <t>=CurveIntegration(A2:A11;B2:B11)</t>
  </si>
  <si>
    <t>Custom VBA Function</t>
  </si>
  <si>
    <t>Numerical Integration Using The Trapezoidal Rule</t>
  </si>
  <si>
    <t>© Christos Samaras</t>
  </si>
  <si>
    <t>Mechanical Engineer</t>
  </si>
  <si>
    <r>
      <rPr>
        <u/>
        <sz val="10"/>
        <color theme="1"/>
        <rFont val="Arial"/>
        <family val="2"/>
        <charset val="161"/>
      </rPr>
      <t>tel.</t>
    </r>
    <r>
      <rPr>
        <sz val="10"/>
        <color theme="1"/>
        <rFont val="Arial"/>
        <family val="2"/>
        <charset val="161"/>
      </rPr>
      <t xml:space="preserve">: </t>
    </r>
    <r>
      <rPr>
        <b/>
        <sz val="10"/>
        <color theme="1"/>
        <rFont val="Arial"/>
        <family val="2"/>
        <charset val="161"/>
      </rPr>
      <t>+306973513308</t>
    </r>
  </si>
  <si>
    <r>
      <rPr>
        <u/>
        <sz val="10"/>
        <color theme="1"/>
        <rFont val="Arial"/>
        <family val="2"/>
        <charset val="161"/>
      </rPr>
      <t>e-mail</t>
    </r>
    <r>
      <rPr>
        <sz val="10"/>
        <color theme="1"/>
        <rFont val="Arial"/>
        <family val="2"/>
        <charset val="161"/>
      </rPr>
      <t>:</t>
    </r>
    <r>
      <rPr>
        <b/>
        <sz val="10"/>
        <color theme="1"/>
        <rFont val="Arial"/>
        <family val="2"/>
        <charset val="161"/>
      </rPr>
      <t xml:space="preserve"> xristos.samaras@gmail.com</t>
    </r>
  </si>
  <si>
    <r>
      <rPr>
        <u/>
        <sz val="10"/>
        <rFont val="Arial"/>
        <family val="2"/>
        <charset val="161"/>
      </rPr>
      <t>site</t>
    </r>
    <r>
      <rPr>
        <sz val="10"/>
        <rFont val="Arial"/>
        <family val="2"/>
        <charset val="161"/>
      </rPr>
      <t>:</t>
    </r>
    <r>
      <rPr>
        <sz val="10"/>
        <color theme="10"/>
        <rFont val="Arial"/>
        <family val="2"/>
        <charset val="161"/>
      </rPr>
      <t xml:space="preserve"> </t>
    </r>
    <r>
      <rPr>
        <u/>
        <sz val="10"/>
        <color theme="10"/>
        <rFont val="Arial"/>
        <family val="2"/>
        <charset val="161"/>
      </rPr>
      <t>http://www.myengineeringworld.net</t>
    </r>
  </si>
  <si>
    <t>Numerical Integration - Trapezoidal Rule</t>
  </si>
  <si>
    <t>Extract Chart Data For Numerical Integration</t>
  </si>
  <si>
    <t>Numerical Integration - Extract Chart Data</t>
  </si>
  <si>
    <r>
      <t>Thessaloniki</t>
    </r>
    <r>
      <rPr>
        <sz val="10"/>
        <color theme="1"/>
        <rFont val="Arial"/>
        <family val="2"/>
        <charset val="161"/>
      </rPr>
      <t xml:space="preserve">, </t>
    </r>
    <r>
      <rPr>
        <b/>
        <sz val="10"/>
        <color theme="1"/>
        <rFont val="Arial"/>
        <family val="2"/>
        <charset val="161"/>
      </rPr>
      <t xml:space="preserve">Greece </t>
    </r>
    <r>
      <rPr>
        <sz val="10"/>
        <color theme="1"/>
        <rFont val="Arial"/>
        <family val="2"/>
        <charset val="161"/>
      </rPr>
      <t>13/06/2013</t>
    </r>
  </si>
  <si>
    <t>=ABS((B5+B4)/2*(A5-A4))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</si>
</sst>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theme="1"/>
      <name val="Arial"/>
      <family val="2"/>
      <charset val="161"/>
    </font>
    <font>
      <b/>
      <sz val="10"/>
      <color theme="0"/>
      <name val="Arial"/>
      <family val="2"/>
      <charset val="161"/>
    </font>
    <font>
      <b/>
      <sz val="10"/>
      <color theme="1"/>
      <name val="Arial"/>
      <family val="2"/>
      <charset val="161"/>
    </font>
    <font>
      <sz val="10"/>
      <color theme="0"/>
      <name val="Arial"/>
      <family val="2"/>
      <charset val="161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0"/>
      <color rgb="FFFF0000"/>
      <name val="Arial"/>
      <family val="2"/>
      <charset val="161"/>
    </font>
    <font>
      <b/>
      <sz val="14"/>
      <color theme="0"/>
      <name val="Arial"/>
      <family val="2"/>
      <charset val="161"/>
    </font>
    <font>
      <b/>
      <sz val="10"/>
      <color rgb="FF0000FF"/>
      <name val="Arial"/>
      <family val="2"/>
      <charset val="161"/>
    </font>
    <font>
      <u/>
      <sz val="10"/>
      <color theme="1"/>
      <name val="Arial"/>
      <family val="2"/>
      <charset val="161"/>
    </font>
    <font>
      <u/>
      <sz val="10"/>
      <color theme="10"/>
      <name val="Arial"/>
      <family val="2"/>
      <charset val="161"/>
    </font>
    <font>
      <u/>
      <sz val="10"/>
      <name val="Arial"/>
      <family val="2"/>
      <charset val="161"/>
    </font>
    <font>
      <sz val="10"/>
      <color theme="10"/>
      <name val="Arial"/>
      <family val="2"/>
      <charset val="161"/>
    </font>
    <font>
      <b/>
      <sz val="14"/>
      <name val="Arial"/>
      <family val="2"/>
      <charset val="161"/>
    </font>
    <font>
      <b/>
      <sz val="10"/>
      <color rgb="FF000000"/>
      <name val="Arial"/>
      <family val="2"/>
      <charset val="16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0" xfId="0" applyBorder="1"/>
    <xf numFmtId="0" fontId="0" fillId="0" borderId="13" xfId="0" applyBorder="1"/>
    <xf numFmtId="0" fontId="0" fillId="0" borderId="0" xfId="0" quotePrefix="1" applyBorder="1"/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17" xfId="0" applyFont="1" applyBorder="1" applyAlignment="1"/>
    <xf numFmtId="0" fontId="1" fillId="6" borderId="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6" xfId="0" applyFont="1" applyFill="1" applyBorder="1" applyAlignment="1" applyProtection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6" fillId="7" borderId="14" xfId="0" applyFont="1" applyFill="1" applyBorder="1" applyAlignment="1" applyProtection="1">
      <alignment horizontal="center" vertical="center" wrapText="1"/>
    </xf>
    <xf numFmtId="0" fontId="6" fillId="7" borderId="15" xfId="0" applyFont="1" applyFill="1" applyBorder="1" applyAlignment="1" applyProtection="1">
      <alignment horizontal="center" vertical="center" wrapText="1"/>
    </xf>
    <xf numFmtId="0" fontId="6" fillId="7" borderId="16" xfId="0" applyFont="1" applyFill="1" applyBorder="1" applyAlignment="1" applyProtection="1">
      <alignment horizontal="center" vertical="center" wrapText="1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0" xfId="0" applyFont="1" applyFill="1" applyBorder="1" applyAlignment="1" applyProtection="1">
      <alignment horizontal="center" vertical="center"/>
    </xf>
    <xf numFmtId="0" fontId="8" fillId="7" borderId="13" xfId="0" applyFont="1" applyFill="1" applyBorder="1" applyAlignment="1" applyProtection="1">
      <alignment horizontal="center" vertical="center"/>
    </xf>
    <xf numFmtId="0" fontId="0" fillId="7" borderId="17" xfId="0" applyFont="1" applyFill="1" applyBorder="1" applyAlignment="1" applyProtection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0" fillId="7" borderId="13" xfId="0" applyFont="1" applyFill="1" applyBorder="1" applyAlignment="1" applyProtection="1">
      <alignment horizontal="center" vertical="center"/>
    </xf>
    <xf numFmtId="0" fontId="10" fillId="7" borderId="17" xfId="1" applyFill="1" applyBorder="1" applyAlignment="1" applyProtection="1">
      <alignment horizontal="center" vertical="center"/>
      <protection locked="0"/>
    </xf>
    <xf numFmtId="0" fontId="10" fillId="7" borderId="0" xfId="1" applyFill="1" applyBorder="1" applyAlignment="1" applyProtection="1">
      <alignment horizontal="center" vertical="center"/>
      <protection locked="0"/>
    </xf>
    <xf numFmtId="0" fontId="10" fillId="7" borderId="13" xfId="1" applyFill="1" applyBorder="1" applyAlignment="1" applyProtection="1">
      <alignment horizontal="center" vertical="center"/>
      <protection locked="0"/>
    </xf>
    <xf numFmtId="0" fontId="9" fillId="7" borderId="18" xfId="0" applyFont="1" applyFill="1" applyBorder="1" applyAlignment="1" applyProtection="1">
      <alignment horizontal="center" vertical="center"/>
    </xf>
    <xf numFmtId="0" fontId="9" fillId="7" borderId="19" xfId="0" applyFont="1" applyFill="1" applyBorder="1" applyAlignment="1" applyProtection="1">
      <alignment horizontal="center" vertical="center"/>
    </xf>
    <xf numFmtId="0" fontId="9" fillId="7" borderId="20" xfId="0" applyFont="1" applyFill="1" applyBorder="1" applyAlignment="1" applyProtection="1">
      <alignment horizontal="center" vertic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3" borderId="21" xfId="0" applyFont="1" applyFill="1" applyBorder="1" applyAlignment="1" applyProtection="1">
      <alignment horizontal="center" vertical="center"/>
    </xf>
    <xf numFmtId="0" fontId="5" fillId="3" borderId="6" xfId="0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Trapezoidal Rule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4654828944504E-2"/>
          <c:y val="0.14031722979872474"/>
          <c:w val="0.9018136113267532"/>
          <c:h val="0.76342281422315006"/>
        </c:manualLayout>
      </c:layout>
      <c:scatterChart>
        <c:scatterStyle val="lineMarker"/>
        <c:varyColors val="0"/>
        <c:ser>
          <c:idx val="0"/>
          <c:order val="0"/>
          <c:tx>
            <c:v>Curve</c:v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'Trapezoidal Rule'!$A$4:$A$13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'Trapezoidal Rule'!$B$4:$B$13</c:f>
              <c:numCache>
                <c:formatCode>General</c:formatCode>
                <c:ptCount val="10"/>
                <c:pt idx="0">
                  <c:v>0</c:v>
                </c:pt>
                <c:pt idx="1">
                  <c:v>4</c:v>
                </c:pt>
                <c:pt idx="2">
                  <c:v>16</c:v>
                </c:pt>
                <c:pt idx="3">
                  <c:v>36</c:v>
                </c:pt>
                <c:pt idx="4">
                  <c:v>64</c:v>
                </c:pt>
                <c:pt idx="5">
                  <c:v>100</c:v>
                </c:pt>
                <c:pt idx="6">
                  <c:v>144</c:v>
                </c:pt>
                <c:pt idx="7">
                  <c:v>196</c:v>
                </c:pt>
                <c:pt idx="8">
                  <c:v>256</c:v>
                </c:pt>
                <c:pt idx="9">
                  <c:v>324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Rule'!$L$4:$L$5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'Trapezoidal Rule'!$K$4:$K$6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Rule'!$N$4:$N$5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'Trapezoidal Rule'!$O$4:$O$5</c:f>
              <c:numCache>
                <c:formatCode>General</c:formatCode>
                <c:ptCount val="2"/>
                <c:pt idx="0">
                  <c:v>0</c:v>
                </c:pt>
                <c:pt idx="1">
                  <c:v>16</c:v>
                </c:pt>
              </c:numCache>
            </c:numRef>
          </c:yVal>
          <c:smooth val="0"/>
        </c:ser>
        <c:ser>
          <c:idx val="3"/>
          <c:order val="3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Rule'!$P$4:$P$5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'Trapezoidal Rule'!$Q$4:$Q$5</c:f>
              <c:numCache>
                <c:formatCode>General</c:formatCode>
                <c:ptCount val="2"/>
                <c:pt idx="0">
                  <c:v>0</c:v>
                </c:pt>
                <c:pt idx="1">
                  <c:v>36</c:v>
                </c:pt>
              </c:numCache>
            </c:numRef>
          </c:yVal>
          <c:smooth val="0"/>
        </c:ser>
        <c:ser>
          <c:idx val="4"/>
          <c:order val="4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Rule'!$R$4:$R$5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'Trapezoidal Rule'!$S$4:$S$5</c:f>
              <c:numCache>
                <c:formatCode>General</c:formatCode>
                <c:ptCount val="2"/>
                <c:pt idx="0">
                  <c:v>0</c:v>
                </c:pt>
                <c:pt idx="1">
                  <c:v>64</c:v>
                </c:pt>
              </c:numCache>
            </c:numRef>
          </c:yVal>
          <c:smooth val="0"/>
        </c:ser>
        <c:ser>
          <c:idx val="5"/>
          <c:order val="5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Rule'!$J$7:$J$8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'Trapezoidal Rule'!$K$7:$K$8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</c:ser>
        <c:ser>
          <c:idx val="6"/>
          <c:order val="6"/>
          <c:spPr>
            <a:ln w="25400">
              <a:solidFill>
                <a:srgbClr val="7030A0"/>
              </a:solidFill>
            </a:ln>
          </c:spPr>
          <c:marker>
            <c:spPr>
              <a:noFill/>
            </c:spPr>
          </c:marker>
          <c:xVal>
            <c:numRef>
              <c:f>'Trapezoidal Rule'!$L$7:$L$8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'Trapezoidal Rule'!$M$7:$M$8</c:f>
              <c:numCache>
                <c:formatCode>General</c:formatCode>
                <c:ptCount val="2"/>
                <c:pt idx="0">
                  <c:v>0</c:v>
                </c:pt>
                <c:pt idx="1">
                  <c:v>144</c:v>
                </c:pt>
              </c:numCache>
            </c:numRef>
          </c:yVal>
          <c:smooth val="0"/>
        </c:ser>
        <c:ser>
          <c:idx val="7"/>
          <c:order val="7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Rule'!$N$7:$N$8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'Trapezoidal Rule'!$O$7:$O$8</c:f>
              <c:numCache>
                <c:formatCode>General</c:formatCode>
                <c:ptCount val="2"/>
                <c:pt idx="0">
                  <c:v>0</c:v>
                </c:pt>
                <c:pt idx="1">
                  <c:v>196</c:v>
                </c:pt>
              </c:numCache>
            </c:numRef>
          </c:yVal>
          <c:smooth val="0"/>
        </c:ser>
        <c:ser>
          <c:idx val="8"/>
          <c:order val="8"/>
          <c:spPr>
            <a:ln w="25400">
              <a:solidFill>
                <a:srgbClr val="7030A0"/>
              </a:solidFill>
            </a:ln>
          </c:spPr>
          <c:marker>
            <c:spPr>
              <a:noFill/>
            </c:spPr>
          </c:marker>
          <c:xVal>
            <c:numRef>
              <c:f>'Trapezoidal Rule'!$P$7:$P$8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'Trapezoidal Rule'!$Q$7:$Q$8</c:f>
              <c:numCache>
                <c:formatCode>General</c:formatCode>
                <c:ptCount val="2"/>
                <c:pt idx="0">
                  <c:v>0</c:v>
                </c:pt>
                <c:pt idx="1">
                  <c:v>256</c:v>
                </c:pt>
              </c:numCache>
            </c:numRef>
          </c:yVal>
          <c:smooth val="0"/>
        </c:ser>
        <c:ser>
          <c:idx val="9"/>
          <c:order val="9"/>
          <c:spPr>
            <a:ln w="254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'Trapezoidal Rule'!$R$7:$R$8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'Trapezoidal Rule'!$S$7:$S$8</c:f>
              <c:numCache>
                <c:formatCode>General</c:formatCode>
                <c:ptCount val="2"/>
                <c:pt idx="0">
                  <c:v>0</c:v>
                </c:pt>
                <c:pt idx="1">
                  <c:v>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00832"/>
        <c:axId val="71406720"/>
      </c:scatterChart>
      <c:valAx>
        <c:axId val="71400832"/>
        <c:scaling>
          <c:orientation val="minMax"/>
          <c:max val="10"/>
        </c:scaling>
        <c:delete val="0"/>
        <c:axPos val="b"/>
        <c:numFmt formatCode="General" sourceLinked="1"/>
        <c:majorTickMark val="out"/>
        <c:minorTickMark val="none"/>
        <c:tickLblPos val="nextTo"/>
        <c:crossAx val="71406720"/>
        <c:crosses val="autoZero"/>
        <c:crossBetween val="midCat"/>
        <c:majorUnit val="1"/>
      </c:valAx>
      <c:valAx>
        <c:axId val="71406720"/>
        <c:scaling>
          <c:orientation val="minMax"/>
          <c:max val="350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71400832"/>
        <c:crosses val="autoZero"/>
        <c:crossBetween val="midCat"/>
        <c:majorUnit val="5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Extract Chart Data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4654828944504E-2"/>
          <c:y val="0.14031722979872474"/>
          <c:w val="0.9018136113267532"/>
          <c:h val="0.76342281422315006"/>
        </c:manualLayout>
      </c:layout>
      <c:scatterChart>
        <c:scatterStyle val="lineMarker"/>
        <c:varyColors val="0"/>
        <c:ser>
          <c:idx val="0"/>
          <c:order val="0"/>
          <c:tx>
            <c:v>Curve</c:v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'Extract Chart Data'!$A$4:$A$13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'Extract Chart Data'!$B$4:$B$13</c:f>
              <c:numCache>
                <c:formatCode>General</c:formatCode>
                <c:ptCount val="10"/>
                <c:pt idx="0">
                  <c:v>324</c:v>
                </c:pt>
                <c:pt idx="1">
                  <c:v>320</c:v>
                </c:pt>
                <c:pt idx="2">
                  <c:v>308</c:v>
                </c:pt>
                <c:pt idx="3">
                  <c:v>288</c:v>
                </c:pt>
                <c:pt idx="4">
                  <c:v>260</c:v>
                </c:pt>
                <c:pt idx="5">
                  <c:v>224</c:v>
                </c:pt>
                <c:pt idx="6">
                  <c:v>180</c:v>
                </c:pt>
                <c:pt idx="7">
                  <c:v>128</c:v>
                </c:pt>
                <c:pt idx="8">
                  <c:v>68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0944"/>
        <c:axId val="52132864"/>
      </c:scatterChart>
      <c:valAx>
        <c:axId val="52130944"/>
        <c:scaling>
          <c:orientation val="minMax"/>
          <c:max val="10"/>
        </c:scaling>
        <c:delete val="0"/>
        <c:axPos val="b"/>
        <c:numFmt formatCode="General" sourceLinked="1"/>
        <c:majorTickMark val="out"/>
        <c:minorTickMark val="none"/>
        <c:tickLblPos val="nextTo"/>
        <c:crossAx val="52132864"/>
        <c:crosses val="autoZero"/>
        <c:crossBetween val="midCat"/>
        <c:majorUnit val="1"/>
      </c:valAx>
      <c:valAx>
        <c:axId val="52132864"/>
        <c:scaling>
          <c:orientation val="minMax"/>
          <c:max val="350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52130944"/>
        <c:crosses val="autoZero"/>
        <c:crossBetween val="midCat"/>
        <c:majorUnit val="5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18</xdr:col>
      <xdr:colOff>600075</xdr:colOff>
      <xdr:row>22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16</xdr:col>
      <xdr:colOff>0</xdr:colOff>
      <xdr:row>22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4</xdr:col>
          <xdr:colOff>600075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yengineeringworld.net/" TargetMode="External"/><Relationship Id="rId1" Type="http://schemas.openxmlformats.org/officeDocument/2006/relationships/hyperlink" Target="http://myengineeringworld.blogspot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yengineeringworld.net/" TargetMode="External"/><Relationship Id="rId1" Type="http://schemas.openxmlformats.org/officeDocument/2006/relationships/hyperlink" Target="http://myengineeringworld.blogspot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U24"/>
  <sheetViews>
    <sheetView showGridLines="0" tabSelected="1" workbookViewId="0">
      <pane ySplit="1" topLeftCell="A2" activePane="bottomLeft" state="frozen"/>
      <selection pane="bottomLeft" activeCell="H18" sqref="H18"/>
    </sheetView>
  </sheetViews>
  <sheetFormatPr defaultColWidth="0" defaultRowHeight="12.75" zeroHeight="1" x14ac:dyDescent="0.2"/>
  <cols>
    <col min="1" max="1" width="10.28515625" style="16" customWidth="1"/>
    <col min="2" max="2" width="11.42578125" style="17" customWidth="1"/>
    <col min="3" max="3" width="10.140625" style="17" bestFit="1" customWidth="1"/>
    <col min="4" max="8" width="10.7109375" style="17" customWidth="1"/>
    <col min="9" max="9" width="5.7109375" style="17" customWidth="1"/>
    <col min="10" max="19" width="9.140625" style="17" customWidth="1"/>
    <col min="20" max="20" width="5.7109375" style="18" customWidth="1"/>
    <col min="21" max="21" width="0.140625" customWidth="1"/>
    <col min="22" max="16384" width="9.140625" hidden="1"/>
  </cols>
  <sheetData>
    <row r="1" spans="1:20" ht="18.75" thickBot="1" x14ac:dyDescent="0.3">
      <c r="A1" s="32" t="s">
        <v>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4"/>
    </row>
    <row r="2" spans="1:20" ht="13.5" thickBot="1" x14ac:dyDescent="0.25"/>
    <row r="3" spans="1:20" ht="13.5" thickBot="1" x14ac:dyDescent="0.25">
      <c r="A3" s="2" t="s">
        <v>0</v>
      </c>
      <c r="B3" s="10" t="s">
        <v>1</v>
      </c>
      <c r="C3" s="6" t="s">
        <v>2</v>
      </c>
    </row>
    <row r="4" spans="1:20" x14ac:dyDescent="0.2">
      <c r="A4" s="3">
        <v>0</v>
      </c>
      <c r="B4" s="11">
        <f>4*(A4^2)</f>
        <v>0</v>
      </c>
      <c r="C4" s="7">
        <f>ABS((B5+B4)/2*(A5-A4))</f>
        <v>2</v>
      </c>
      <c r="D4" s="19" t="s">
        <v>18</v>
      </c>
      <c r="F4" s="19"/>
      <c r="G4" s="19"/>
      <c r="H4" s="19"/>
      <c r="J4" s="17">
        <v>0</v>
      </c>
      <c r="K4" s="17">
        <v>0</v>
      </c>
      <c r="L4" s="17">
        <v>1</v>
      </c>
      <c r="M4" s="17">
        <v>0</v>
      </c>
      <c r="N4" s="17">
        <v>2</v>
      </c>
      <c r="O4" s="17">
        <v>0</v>
      </c>
      <c r="P4" s="17">
        <v>3</v>
      </c>
      <c r="Q4" s="17">
        <v>0</v>
      </c>
      <c r="R4" s="17">
        <v>4</v>
      </c>
      <c r="S4" s="17">
        <v>0</v>
      </c>
    </row>
    <row r="5" spans="1:20" ht="13.5" thickBot="1" x14ac:dyDescent="0.25">
      <c r="A5" s="4">
        <v>1</v>
      </c>
      <c r="B5" s="12">
        <f>4*(A5^2)</f>
        <v>4</v>
      </c>
      <c r="C5" s="8">
        <f t="shared" ref="C5:C12" si="0">ABS((B6+B5)/2*(A6-A5))</f>
        <v>10</v>
      </c>
      <c r="J5" s="17">
        <v>0</v>
      </c>
      <c r="K5" s="17">
        <f>B4</f>
        <v>0</v>
      </c>
      <c r="L5" s="17">
        <v>1</v>
      </c>
      <c r="M5" s="17">
        <f>B5</f>
        <v>4</v>
      </c>
      <c r="N5" s="17">
        <v>2</v>
      </c>
      <c r="O5" s="17">
        <f>B6</f>
        <v>16</v>
      </c>
      <c r="P5" s="17">
        <v>3</v>
      </c>
      <c r="Q5" s="17">
        <f>B7</f>
        <v>36</v>
      </c>
      <c r="R5" s="17">
        <v>4</v>
      </c>
      <c r="S5" s="17">
        <f>B8</f>
        <v>64</v>
      </c>
    </row>
    <row r="6" spans="1:20" ht="13.5" thickBot="1" x14ac:dyDescent="0.25">
      <c r="A6" s="4">
        <v>2</v>
      </c>
      <c r="B6" s="12">
        <f t="shared" ref="B6:B13" si="1">4*(A6^2)</f>
        <v>16</v>
      </c>
      <c r="C6" s="8">
        <f t="shared" si="0"/>
        <v>26</v>
      </c>
      <c r="E6" s="26" t="s">
        <v>14</v>
      </c>
      <c r="F6" s="27"/>
      <c r="G6" s="27"/>
      <c r="H6" s="28"/>
    </row>
    <row r="7" spans="1:20" x14ac:dyDescent="0.2">
      <c r="A7" s="4">
        <v>3</v>
      </c>
      <c r="B7" s="12">
        <f t="shared" si="1"/>
        <v>36</v>
      </c>
      <c r="C7" s="8">
        <f t="shared" si="0"/>
        <v>50</v>
      </c>
      <c r="E7" s="35" t="s">
        <v>9</v>
      </c>
      <c r="F7" s="36"/>
      <c r="G7" s="36"/>
      <c r="H7" s="37"/>
      <c r="J7" s="17">
        <v>5</v>
      </c>
      <c r="K7" s="17">
        <v>0</v>
      </c>
      <c r="L7" s="17">
        <v>6</v>
      </c>
      <c r="M7" s="17">
        <v>0</v>
      </c>
      <c r="N7" s="17">
        <v>7</v>
      </c>
      <c r="O7" s="17">
        <v>0</v>
      </c>
      <c r="P7" s="17">
        <v>8</v>
      </c>
      <c r="Q7" s="17">
        <v>0</v>
      </c>
      <c r="R7" s="17">
        <v>9</v>
      </c>
      <c r="S7" s="17">
        <v>0</v>
      </c>
    </row>
    <row r="8" spans="1:20" ht="12.75" customHeight="1" x14ac:dyDescent="0.2">
      <c r="A8" s="4">
        <v>4</v>
      </c>
      <c r="B8" s="12">
        <f t="shared" si="1"/>
        <v>64</v>
      </c>
      <c r="C8" s="8">
        <f t="shared" si="0"/>
        <v>82</v>
      </c>
      <c r="E8" s="38" t="s">
        <v>10</v>
      </c>
      <c r="F8" s="39"/>
      <c r="G8" s="39"/>
      <c r="H8" s="40"/>
      <c r="J8" s="17">
        <v>5</v>
      </c>
      <c r="K8" s="17">
        <f>B9</f>
        <v>100</v>
      </c>
      <c r="L8" s="17">
        <v>6</v>
      </c>
      <c r="M8" s="17">
        <f>B10</f>
        <v>144</v>
      </c>
      <c r="N8" s="17">
        <v>7</v>
      </c>
      <c r="O8" s="17">
        <f>B11</f>
        <v>196</v>
      </c>
      <c r="P8" s="17">
        <v>8</v>
      </c>
      <c r="Q8" s="17">
        <f>B12</f>
        <v>256</v>
      </c>
      <c r="R8" s="17">
        <v>9</v>
      </c>
      <c r="S8" s="17">
        <f>B13</f>
        <v>324</v>
      </c>
    </row>
    <row r="9" spans="1:20" x14ac:dyDescent="0.2">
      <c r="A9" s="4">
        <v>5</v>
      </c>
      <c r="B9" s="12">
        <f t="shared" si="1"/>
        <v>100</v>
      </c>
      <c r="C9" s="8">
        <f t="shared" si="0"/>
        <v>122</v>
      </c>
      <c r="E9" s="41" t="s">
        <v>11</v>
      </c>
      <c r="F9" s="42"/>
      <c r="G9" s="42"/>
      <c r="H9" s="43"/>
    </row>
    <row r="10" spans="1:20" x14ac:dyDescent="0.2">
      <c r="A10" s="4">
        <v>6</v>
      </c>
      <c r="B10" s="12">
        <f t="shared" si="1"/>
        <v>144</v>
      </c>
      <c r="C10" s="8">
        <f t="shared" si="0"/>
        <v>170</v>
      </c>
      <c r="E10" s="41" t="s">
        <v>12</v>
      </c>
      <c r="F10" s="42"/>
      <c r="G10" s="42"/>
      <c r="H10" s="43"/>
    </row>
    <row r="11" spans="1:20" x14ac:dyDescent="0.2">
      <c r="A11" s="4">
        <v>7</v>
      </c>
      <c r="B11" s="12">
        <f t="shared" si="1"/>
        <v>196</v>
      </c>
      <c r="C11" s="8">
        <f t="shared" si="0"/>
        <v>226</v>
      </c>
      <c r="E11" s="44" t="s">
        <v>13</v>
      </c>
      <c r="F11" s="45"/>
      <c r="G11" s="45"/>
      <c r="H11" s="46"/>
    </row>
    <row r="12" spans="1:20" ht="13.5" thickBot="1" x14ac:dyDescent="0.25">
      <c r="A12" s="4">
        <v>8</v>
      </c>
      <c r="B12" s="12">
        <f t="shared" si="1"/>
        <v>256</v>
      </c>
      <c r="C12" s="8">
        <f t="shared" si="0"/>
        <v>290</v>
      </c>
      <c r="E12" s="47" t="s">
        <v>17</v>
      </c>
      <c r="F12" s="48"/>
      <c r="G12" s="48"/>
      <c r="H12" s="49"/>
    </row>
    <row r="13" spans="1:20" ht="13.5" thickBot="1" x14ac:dyDescent="0.25">
      <c r="A13" s="5">
        <v>9</v>
      </c>
      <c r="B13" s="13">
        <f t="shared" si="1"/>
        <v>324</v>
      </c>
      <c r="C13" s="9"/>
    </row>
    <row r="14" spans="1:20" ht="13.5" thickBot="1" x14ac:dyDescent="0.25">
      <c r="A14" s="20"/>
      <c r="B14" s="21"/>
      <c r="C14" s="1">
        <f>SUM(C4:C13)</f>
        <v>978</v>
      </c>
      <c r="D14" s="19" t="s">
        <v>3</v>
      </c>
      <c r="F14" s="19"/>
      <c r="G14" s="19"/>
      <c r="H14" s="19"/>
    </row>
    <row r="15" spans="1:20" x14ac:dyDescent="0.2"/>
    <row r="16" spans="1:20" ht="13.5" thickBot="1" x14ac:dyDescent="0.25"/>
    <row r="17" spans="1:20" ht="13.5" thickBot="1" x14ac:dyDescent="0.25">
      <c r="A17" s="29" t="s">
        <v>4</v>
      </c>
      <c r="B17" s="30"/>
      <c r="C17" s="14">
        <f>SUMPRODUCT(A5:A13-A4:A12,(B5:B13+B4:B12)/2)</f>
        <v>978</v>
      </c>
      <c r="D17" s="19" t="s">
        <v>5</v>
      </c>
      <c r="F17" s="19"/>
      <c r="G17" s="19"/>
      <c r="H17" s="19"/>
    </row>
    <row r="18" spans="1:20" x14ac:dyDescent="0.2"/>
    <row r="19" spans="1:20" ht="13.5" thickBot="1" x14ac:dyDescent="0.25"/>
    <row r="20" spans="1:20" ht="13.5" thickBot="1" x14ac:dyDescent="0.25">
      <c r="A20" s="29" t="s">
        <v>7</v>
      </c>
      <c r="B20" s="31"/>
      <c r="C20" s="15">
        <f>CurveIntegration(A4:A13,B4:B13)</f>
        <v>978</v>
      </c>
      <c r="D20" s="19" t="s">
        <v>6</v>
      </c>
      <c r="F20" s="19"/>
      <c r="G20" s="19"/>
      <c r="H20" s="19"/>
    </row>
    <row r="21" spans="1:20" x14ac:dyDescent="0.2"/>
    <row r="22" spans="1:20" x14ac:dyDescent="0.2"/>
    <row r="23" spans="1:20" x14ac:dyDescent="0.2"/>
    <row r="24" spans="1:20" ht="13.5" thickBot="1" x14ac:dyDescent="0.25">
      <c r="A24" s="22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4"/>
    </row>
  </sheetData>
  <mergeCells count="10">
    <mergeCell ref="E6:H6"/>
    <mergeCell ref="A17:B17"/>
    <mergeCell ref="A20:B20"/>
    <mergeCell ref="A1:T1"/>
    <mergeCell ref="E7:H7"/>
    <mergeCell ref="E8:H8"/>
    <mergeCell ref="E9:H9"/>
    <mergeCell ref="E10:H10"/>
    <mergeCell ref="E11:H11"/>
    <mergeCell ref="E12:H12"/>
  </mergeCells>
  <hyperlinks>
    <hyperlink ref="E11" r:id="rId1" display="http://myengineeringworld.blogspot.com"/>
    <hyperlink ref="E11:H11" r:id="rId2" display="site: http://www.myengineeringworld.net"/>
  </hyperlinks>
  <pageMargins left="0.7" right="0.7" top="0.75" bottom="0.75" header="0.3" footer="0.3"/>
  <pageSetup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R24"/>
  <sheetViews>
    <sheetView showGridLines="0" zoomScaleNormal="100" workbookViewId="0">
      <pane ySplit="1" topLeftCell="A2" activePane="bottomLeft" state="frozen"/>
      <selection pane="bottomLeft" activeCell="B23" sqref="B23"/>
    </sheetView>
  </sheetViews>
  <sheetFormatPr defaultColWidth="0" defaultRowHeight="0" customHeight="1" zeroHeight="1" x14ac:dyDescent="0.2"/>
  <cols>
    <col min="1" max="1" width="8.85546875" style="16" customWidth="1"/>
    <col min="2" max="2" width="9.42578125" style="17" customWidth="1"/>
    <col min="3" max="3" width="10.7109375" style="17" customWidth="1"/>
    <col min="4" max="4" width="10.28515625" style="17" customWidth="1"/>
    <col min="5" max="5" width="9.140625" style="17" customWidth="1"/>
    <col min="6" max="7" width="10.7109375" style="17" customWidth="1"/>
    <col min="8" max="8" width="5.7109375" style="17" customWidth="1"/>
    <col min="9" max="16" width="9.140625" style="17" customWidth="1"/>
    <col min="17" max="17" width="5.7109375" style="18" customWidth="1"/>
    <col min="18" max="18" width="0.140625" customWidth="1"/>
    <col min="19" max="16384" width="9.140625" hidden="1"/>
  </cols>
  <sheetData>
    <row r="1" spans="1:17" ht="18.75" thickBot="1" x14ac:dyDescent="0.3">
      <c r="A1" s="54" t="s">
        <v>15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6"/>
    </row>
    <row r="2" spans="1:17" ht="13.5" thickBot="1" x14ac:dyDescent="0.25"/>
    <row r="3" spans="1:17" ht="13.5" thickBot="1" x14ac:dyDescent="0.25">
      <c r="A3" s="2" t="s">
        <v>0</v>
      </c>
      <c r="B3" s="10" t="s">
        <v>1</v>
      </c>
    </row>
    <row r="4" spans="1:17" ht="12.75" x14ac:dyDescent="0.2">
      <c r="A4" s="3">
        <v>0</v>
      </c>
      <c r="B4" s="11">
        <f>324-4*(A4^2)</f>
        <v>324</v>
      </c>
      <c r="C4" s="19"/>
      <c r="E4" s="19"/>
      <c r="F4" s="19"/>
      <c r="G4" s="19"/>
    </row>
    <row r="5" spans="1:17" ht="12.75" x14ac:dyDescent="0.2">
      <c r="A5" s="4">
        <v>1</v>
      </c>
      <c r="B5" s="12">
        <f t="shared" ref="B5:B13" si="0">324-4*(A5^2)</f>
        <v>320</v>
      </c>
    </row>
    <row r="6" spans="1:17" ht="12.75" x14ac:dyDescent="0.2">
      <c r="A6" s="4">
        <v>2</v>
      </c>
      <c r="B6" s="12">
        <f t="shared" si="0"/>
        <v>308</v>
      </c>
    </row>
    <row r="7" spans="1:17" ht="13.5" thickBot="1" x14ac:dyDescent="0.25">
      <c r="A7" s="4">
        <v>3</v>
      </c>
      <c r="B7" s="12">
        <f t="shared" si="0"/>
        <v>288</v>
      </c>
    </row>
    <row r="8" spans="1:17" ht="12.75" customHeight="1" x14ac:dyDescent="0.2">
      <c r="A8" s="4">
        <v>4</v>
      </c>
      <c r="B8" s="12">
        <f t="shared" si="0"/>
        <v>260</v>
      </c>
      <c r="D8" s="50"/>
      <c r="E8" s="51"/>
    </row>
    <row r="9" spans="1:17" ht="13.5" thickBot="1" x14ac:dyDescent="0.25">
      <c r="A9" s="4">
        <v>5</v>
      </c>
      <c r="B9" s="12">
        <f t="shared" si="0"/>
        <v>224</v>
      </c>
      <c r="D9" s="52"/>
      <c r="E9" s="53"/>
    </row>
    <row r="10" spans="1:17" ht="12.75" x14ac:dyDescent="0.2">
      <c r="A10" s="4">
        <v>6</v>
      </c>
      <c r="B10" s="12">
        <f t="shared" si="0"/>
        <v>180</v>
      </c>
    </row>
    <row r="11" spans="1:17" ht="12.75" x14ac:dyDescent="0.2">
      <c r="A11" s="4">
        <v>7</v>
      </c>
      <c r="B11" s="12">
        <f t="shared" si="0"/>
        <v>128</v>
      </c>
    </row>
    <row r="12" spans="1:17" ht="12.75" x14ac:dyDescent="0.2">
      <c r="A12" s="4">
        <v>8</v>
      </c>
      <c r="B12" s="12">
        <f t="shared" si="0"/>
        <v>68</v>
      </c>
    </row>
    <row r="13" spans="1:17" ht="13.5" thickBot="1" x14ac:dyDescent="0.25">
      <c r="A13" s="5">
        <v>9</v>
      </c>
      <c r="B13" s="13">
        <f t="shared" si="0"/>
        <v>0</v>
      </c>
    </row>
    <row r="14" spans="1:17" ht="12.75" x14ac:dyDescent="0.2">
      <c r="A14" s="20"/>
      <c r="B14" s="21"/>
      <c r="C14" s="19"/>
      <c r="E14" s="19"/>
      <c r="F14" s="19"/>
      <c r="G14" s="19"/>
    </row>
    <row r="15" spans="1:17" ht="13.5" thickBot="1" x14ac:dyDescent="0.25"/>
    <row r="16" spans="1:17" ht="13.5" thickBot="1" x14ac:dyDescent="0.25">
      <c r="B16" s="57" t="s">
        <v>16</v>
      </c>
      <c r="C16" s="58"/>
      <c r="D16" s="58"/>
      <c r="E16" s="59"/>
    </row>
    <row r="17" spans="1:17" ht="12.75" x14ac:dyDescent="0.2">
      <c r="A17" s="25"/>
      <c r="B17" s="35" t="s">
        <v>9</v>
      </c>
      <c r="C17" s="36"/>
      <c r="D17" s="36"/>
      <c r="E17" s="37"/>
      <c r="F17" s="19"/>
      <c r="G17" s="19"/>
    </row>
    <row r="18" spans="1:17" ht="12.75" x14ac:dyDescent="0.2">
      <c r="B18" s="38" t="s">
        <v>10</v>
      </c>
      <c r="C18" s="39"/>
      <c r="D18" s="39"/>
      <c r="E18" s="40"/>
    </row>
    <row r="19" spans="1:17" ht="12.75" x14ac:dyDescent="0.2">
      <c r="B19" s="41" t="s">
        <v>11</v>
      </c>
      <c r="C19" s="42"/>
      <c r="D19" s="42"/>
      <c r="E19" s="43"/>
    </row>
    <row r="20" spans="1:17" ht="12.75" x14ac:dyDescent="0.2">
      <c r="A20" s="25"/>
      <c r="B20" s="41" t="s">
        <v>12</v>
      </c>
      <c r="C20" s="42"/>
      <c r="D20" s="42"/>
      <c r="E20" s="43"/>
      <c r="F20" s="19"/>
      <c r="G20" s="19"/>
    </row>
    <row r="21" spans="1:17" ht="12.75" x14ac:dyDescent="0.2">
      <c r="B21" s="44" t="s">
        <v>13</v>
      </c>
      <c r="C21" s="45"/>
      <c r="D21" s="45"/>
      <c r="E21" s="46"/>
    </row>
    <row r="22" spans="1:17" ht="13.5" thickBot="1" x14ac:dyDescent="0.25">
      <c r="B22" s="47" t="s">
        <v>17</v>
      </c>
      <c r="C22" s="48"/>
      <c r="D22" s="48"/>
      <c r="E22" s="49"/>
    </row>
    <row r="23" spans="1:17" ht="12.75" x14ac:dyDescent="0.2"/>
    <row r="24" spans="1:17" ht="13.5" thickBot="1" x14ac:dyDescent="0.25">
      <c r="A24" s="22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</row>
  </sheetData>
  <mergeCells count="9">
    <mergeCell ref="B21:E21"/>
    <mergeCell ref="B22:E22"/>
    <mergeCell ref="D8:E9"/>
    <mergeCell ref="A1:Q1"/>
    <mergeCell ref="B16:E16"/>
    <mergeCell ref="B17:E17"/>
    <mergeCell ref="B18:E18"/>
    <mergeCell ref="B19:E19"/>
    <mergeCell ref="B20:E20"/>
  </mergeCells>
  <hyperlinks>
    <hyperlink ref="B21" r:id="rId1" display="http://myengineeringworld.blogspot.com"/>
    <hyperlink ref="B21:E21" r:id="rId2" display="site: http://www.myengineeringworld.net"/>
  </hyperlinks>
  <pageMargins left="0.7" right="0.7" top="0.75" bottom="0.75" header="0.3" footer="0.3"/>
  <pageSetup orientation="portrait" horizontalDpi="1200" verticalDpi="1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tractChartData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4</xdr:col>
                    <xdr:colOff>600075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Trapezoidal Rule</vt:lpstr>
      <vt:lpstr>Extract Chart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Christos Samaras</dc:creator>
  <cp:lastModifiedBy>Christos Samaras</cp:lastModifiedBy>
  <dcterms:created xsi:type="dcterms:W3CDTF">2013-06-05T20:08:21Z</dcterms:created>
  <dcterms:modified xsi:type="dcterms:W3CDTF">2013-06-13T20:19:27Z</dcterms:modified>
</cp:coreProperties>
</file>